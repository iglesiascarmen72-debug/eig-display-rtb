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astas de segundo precio" sheetId="1" r:id="rId5"/>
    <sheet state="visible" name="Respuestas al formulario" sheetId="2" r:id="rId6"/>
    <sheet state="visible" name="Configuración" sheetId="3" r:id="rId7"/>
    <sheet state="visible" name="Publisher" sheetId="4" r:id="rId8"/>
    <sheet state="visible" name="Panel de Control" sheetId="5" r:id="rId9"/>
  </sheets>
  <definedNames/>
  <calcPr/>
</workbook>
</file>

<file path=xl/sharedStrings.xml><?xml version="1.0" encoding="utf-8"?>
<sst xmlns="http://schemas.openxmlformats.org/spreadsheetml/2006/main" count="39" uniqueCount="29">
  <si>
    <t>Puja Máxima</t>
  </si>
  <si>
    <t xml:space="preserve">Ganador </t>
  </si>
  <si>
    <t>Timestamp</t>
  </si>
  <si>
    <t xml:space="preserve">¿Qué agencia eres? </t>
  </si>
  <si>
    <t xml:space="preserve">  ¿Qué número de Impresión estás pujando?  </t>
  </si>
  <si>
    <t xml:space="preserve">  Tu puja en €  </t>
  </si>
  <si>
    <t>Bid &amp; Breakfast</t>
  </si>
  <si>
    <t>Clickbait &amp; Partners</t>
  </si>
  <si>
    <t>Mad Men-tions</t>
  </si>
  <si>
    <t>Equipo</t>
  </si>
  <si>
    <t>Marca</t>
  </si>
  <si>
    <t>Presupuesto Inicial</t>
  </si>
  <si>
    <t>Dodot</t>
  </si>
  <si>
    <t>100 euros</t>
  </si>
  <si>
    <t>Volkswagen</t>
  </si>
  <si>
    <t>The Cookie Monsters</t>
  </si>
  <si>
    <t>Mapfre</t>
  </si>
  <si>
    <t>IKEA</t>
  </si>
  <si>
    <t>ID de la impresión</t>
  </si>
  <si>
    <t>Usuario</t>
  </si>
  <si>
    <t>Target Dodot</t>
  </si>
  <si>
    <t>Target VW</t>
  </si>
  <si>
    <t>Target Mapfre</t>
  </si>
  <si>
    <t>Target IKEA</t>
  </si>
  <si>
    <t>Mujer, 29 años, Embarazada, Madrid</t>
  </si>
  <si>
    <t>Hombre, 45 años, Renta Alta, BMW</t>
  </si>
  <si>
    <t>Pareja, 32 años, buscando piso</t>
  </si>
  <si>
    <t>Impresión en curso</t>
  </si>
  <si>
    <t>https://docs.google.com/forms/d/e/1FAIpQLScVENQjuVSIQscDu9mxWZPoGA8DWFQpRaUG6yfml7O52hwpYA/viewform?usp=publish-editor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</si>
</sst>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5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3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al formul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Form_Responses" name="Form_Responses" id="1">
  <tableColumns count="4">
    <tableColumn name="Timestamp" id="1"/>
    <tableColumn name="¿Qué agencia eres? " id="2"/>
    <tableColumn name="  ¿Qué número de Impresión estás pujando?  " id="3"/>
    <tableColumn name="  Tu puja en €  " id="4"/>
  </tableColumns>
  <tableStyleInfo name="Respuestas al formul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VENQjuVSIQscDu9mxWZPoGA8DWFQpRaUG6yfml7O52hwpYA/viewform?usp=publish-editor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7.75"/>
    <col customWidth="1" min="3" max="3" width="26.0"/>
  </cols>
  <sheetData>
    <row r="4">
      <c r="B4" s="1" t="s">
        <v>0</v>
      </c>
      <c r="C4" s="2" t="s">
        <v>1</v>
      </c>
      <c r="G4" s="3"/>
    </row>
    <row r="5">
      <c r="B5" s="4">
        <f>max('Respuestas al formulario'!D2:D62)</f>
        <v>15</v>
      </c>
      <c r="C5" s="5" t="str">
        <f t="array" ref="C5">IF(B5=0, "Esperando subastas...", INDEX('Panel de Control'!F5:F8, MATCH(B5, 'Panel de Control'!G5:G8, 0)))</f>
        <v>Mad Men-tions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6" t="s">
        <v>2</v>
      </c>
      <c r="B1" s="7" t="s">
        <v>3</v>
      </c>
      <c r="C1" s="7" t="s">
        <v>4</v>
      </c>
      <c r="D1" s="7" t="s">
        <v>5</v>
      </c>
    </row>
    <row r="2" ht="22.5" customHeight="1">
      <c r="A2" s="8"/>
      <c r="B2" s="9"/>
      <c r="C2" s="9"/>
      <c r="D2" s="9"/>
    </row>
    <row r="3" ht="22.5" customHeight="1">
      <c r="A3" s="10">
        <v>46184.52716888889</v>
      </c>
      <c r="B3" s="11" t="s">
        <v>6</v>
      </c>
      <c r="C3" s="11">
        <v>1.0</v>
      </c>
      <c r="D3" s="11">
        <v>5.0</v>
      </c>
    </row>
    <row r="4" ht="22.5" customHeight="1">
      <c r="A4" s="10">
        <v>46184.52734202547</v>
      </c>
      <c r="B4" s="11" t="s">
        <v>7</v>
      </c>
      <c r="C4" s="11">
        <v>1.0</v>
      </c>
      <c r="D4" s="11">
        <v>3.0</v>
      </c>
    </row>
    <row r="5" ht="22.5" customHeight="1">
      <c r="A5" s="10">
        <v>46184.53340206019</v>
      </c>
      <c r="B5" s="11" t="s">
        <v>8</v>
      </c>
      <c r="C5" s="11">
        <v>1.0</v>
      </c>
      <c r="D5" s="11">
        <v>15.0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6.25"/>
  </cols>
  <sheetData>
    <row r="1">
      <c r="A1" s="12" t="s">
        <v>9</v>
      </c>
      <c r="B1" s="12" t="s">
        <v>10</v>
      </c>
      <c r="C1" s="12" t="s">
        <v>11</v>
      </c>
    </row>
    <row r="2">
      <c r="A2" s="12" t="s">
        <v>6</v>
      </c>
      <c r="B2" s="12" t="s">
        <v>12</v>
      </c>
      <c r="C2" s="12" t="s">
        <v>13</v>
      </c>
    </row>
    <row r="3">
      <c r="A3" s="12" t="s">
        <v>8</v>
      </c>
      <c r="B3" s="12" t="s">
        <v>14</v>
      </c>
      <c r="C3" s="12" t="s">
        <v>13</v>
      </c>
    </row>
    <row r="4">
      <c r="A4" s="12" t="s">
        <v>15</v>
      </c>
      <c r="B4" s="12" t="s">
        <v>16</v>
      </c>
      <c r="C4" s="12" t="s">
        <v>13</v>
      </c>
    </row>
    <row r="5">
      <c r="A5" s="12" t="s">
        <v>7</v>
      </c>
      <c r="B5" s="12" t="s">
        <v>17</v>
      </c>
      <c r="C5" s="12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8.25"/>
    <col customWidth="1" min="3" max="3" width="16.25"/>
  </cols>
  <sheetData>
    <row r="1">
      <c r="A1" s="12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</row>
    <row r="2">
      <c r="A2" s="12">
        <v>1.0</v>
      </c>
      <c r="B2" s="12" t="s">
        <v>24</v>
      </c>
      <c r="C2" s="12">
        <v>1.0</v>
      </c>
      <c r="D2" s="12">
        <v>0.0</v>
      </c>
      <c r="E2" s="12">
        <v>0.5</v>
      </c>
      <c r="F2" s="12">
        <v>0.0</v>
      </c>
    </row>
    <row r="3">
      <c r="A3" s="12">
        <v>2.0</v>
      </c>
      <c r="B3" s="12" t="s">
        <v>25</v>
      </c>
      <c r="C3" s="12">
        <v>0.0</v>
      </c>
      <c r="D3" s="12">
        <v>1.0</v>
      </c>
      <c r="E3" s="12">
        <v>0.0</v>
      </c>
      <c r="F3" s="12">
        <v>0.3</v>
      </c>
    </row>
    <row r="4">
      <c r="A4" s="12">
        <v>3.0</v>
      </c>
      <c r="B4" s="12" t="s">
        <v>26</v>
      </c>
      <c r="C4" s="12">
        <v>0.0</v>
      </c>
      <c r="D4" s="12">
        <v>0.0</v>
      </c>
      <c r="E4" s="12">
        <v>0.8</v>
      </c>
      <c r="F4" s="1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6" max="6" width="15.75"/>
  </cols>
  <sheetData>
    <row r="1">
      <c r="B1" s="12" t="s">
        <v>27</v>
      </c>
    </row>
    <row r="2">
      <c r="B2" s="13">
        <v>1.0</v>
      </c>
    </row>
    <row r="5">
      <c r="F5" s="12" t="s">
        <v>6</v>
      </c>
      <c r="G5" s="14">
        <f>MAXIFS('Respuestas al formulario'!D:D, 'Respuestas al formulario'!B:B, F5, 'Respuestas al formulario'!C:C, B$2)</f>
        <v>5</v>
      </c>
    </row>
    <row r="6">
      <c r="F6" s="12" t="s">
        <v>8</v>
      </c>
      <c r="G6" s="14">
        <f>MAXIFS('Respuestas al formulario'!D:D, 'Respuestas al formulario'!B:B, F6, 'Respuestas al formulario'!C:C, B$2)</f>
        <v>15</v>
      </c>
    </row>
    <row r="7">
      <c r="F7" s="12" t="s">
        <v>15</v>
      </c>
      <c r="G7" s="14">
        <f>MAXIFS('Respuestas al formulario'!D:D, 'Respuestas al formulario'!B:B, F7, 'Respuestas al formulario'!C:C, B$2)</f>
        <v>0</v>
      </c>
    </row>
    <row r="8">
      <c r="F8" s="12" t="s">
        <v>7</v>
      </c>
      <c r="G8" s="14">
        <f>MAXIFS('Respuestas al formulario'!D:D, 'Respuestas al formulario'!B:B, F8, 'Respuestas al formulario'!C:C, B$2)</f>
        <v>3</v>
      </c>
    </row>
    <row r="19">
      <c r="A19" s="15" t="s">
        <v>28</v>
      </c>
    </row>
  </sheetData>
  <hyperlinks>
    <hyperlink r:id="rId1" ref="A19"/>
  </hyperlinks>
  <drawing r:id="rId2"/>
</worksheet>
</file>